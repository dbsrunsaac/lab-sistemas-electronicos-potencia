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SISTEMAS ELECTRONICOS DE POTENCIA\lab-sistemas-electronicos-potencia\1. RECTFICADOR MEDIA ONDA\"/>
    </mc:Choice>
  </mc:AlternateContent>
  <xr:revisionPtr revIDLastSave="0" documentId="13_ncr:1_{66122393-4D84-438F-8304-E5B9B961C0DB}" xr6:coauthVersionLast="47" xr6:coauthVersionMax="47" xr10:uidLastSave="{00000000-0000-0000-0000-000000000000}"/>
  <bookViews>
    <workbookView xWindow="-108" yWindow="348" windowWidth="23256" windowHeight="12720" activeTab="1" xr2:uid="{5F618F1F-3429-406F-806D-B5E6DD2CD34A}"/>
  </bookViews>
  <sheets>
    <sheet name="1er circuito" sheetId="1" r:id="rId1"/>
    <sheet name="2do circui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C7" i="2"/>
  <c r="B10" i="2"/>
  <c r="F5" i="1"/>
  <c r="D5" i="1"/>
  <c r="E5" i="1" s="1"/>
  <c r="C5" i="1"/>
  <c r="E2" i="1"/>
</calcChain>
</file>

<file path=xl/sharedStrings.xml><?xml version="1.0" encoding="utf-8"?>
<sst xmlns="http://schemas.openxmlformats.org/spreadsheetml/2006/main" count="20" uniqueCount="20">
  <si>
    <t>Vmed en R</t>
  </si>
  <si>
    <t>Vrms R</t>
  </si>
  <si>
    <t>Imed</t>
  </si>
  <si>
    <t>P en R</t>
  </si>
  <si>
    <t>fp (Vms)</t>
  </si>
  <si>
    <t>R medida</t>
  </si>
  <si>
    <t>L [mH] medida</t>
  </si>
  <si>
    <t>Vm (m) medido</t>
  </si>
  <si>
    <t>W (rads/s)</t>
  </si>
  <si>
    <t>Z calc</t>
  </si>
  <si>
    <t>theta (rad) calc</t>
  </si>
  <si>
    <t>wt</t>
  </si>
  <si>
    <t>B (rad)</t>
  </si>
  <si>
    <t>Vin [V]</t>
  </si>
  <si>
    <t>Vrect [V]</t>
  </si>
  <si>
    <t>Irms</t>
  </si>
  <si>
    <t>Rmed</t>
  </si>
  <si>
    <t>L</t>
  </si>
  <si>
    <t>20.96mH</t>
  </si>
  <si>
    <t>B (medido)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</si>
</sst>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2B7B-F6B0-445C-929E-67485531B1D1}">
  <dimension ref="A1:F5"/>
  <sheetViews>
    <sheetView workbookViewId="0">
      <selection activeCell="F5" sqref="F5"/>
    </sheetView>
  </sheetViews>
  <sheetFormatPr baseColWidth="10" defaultRowHeight="14.4" x14ac:dyDescent="0.3"/>
  <sheetData>
    <row r="1" spans="1:6" x14ac:dyDescent="0.3">
      <c r="A1" t="s">
        <v>13</v>
      </c>
      <c r="B1">
        <v>20.100000000000001</v>
      </c>
      <c r="D1" t="s">
        <v>16</v>
      </c>
      <c r="E1">
        <v>15.34</v>
      </c>
    </row>
    <row r="2" spans="1:6" x14ac:dyDescent="0.3">
      <c r="A2" t="s">
        <v>14</v>
      </c>
      <c r="B2">
        <v>17.2</v>
      </c>
      <c r="E2">
        <f>D2*B2</f>
        <v>0</v>
      </c>
    </row>
    <row r="4" spans="1:6" x14ac:dyDescent="0.3">
      <c r="A4" s="1" t="s">
        <v>0</v>
      </c>
      <c r="B4" t="s">
        <v>1</v>
      </c>
      <c r="C4" t="s">
        <v>2</v>
      </c>
      <c r="D4" t="s">
        <v>15</v>
      </c>
      <c r="E4" t="s">
        <v>3</v>
      </c>
      <c r="F4" t="s">
        <v>4</v>
      </c>
    </row>
    <row r="5" spans="1:6" x14ac:dyDescent="0.3">
      <c r="A5">
        <v>5.37</v>
      </c>
      <c r="B5">
        <v>8.51</v>
      </c>
      <c r="C5">
        <f>A5/E1</f>
        <v>0.35006518904823991</v>
      </c>
      <c r="D5">
        <f>B5/E1</f>
        <v>0.55475880052151239</v>
      </c>
      <c r="E5">
        <f>D5*B5</f>
        <v>4.7209973924380702</v>
      </c>
      <c r="F5">
        <f>D5*E1/220</f>
        <v>3.8681818181818178E-2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9CE2-5CD0-42B2-841E-CCC5463CF4ED}">
  <dimension ref="A1:E10"/>
  <sheetViews>
    <sheetView tabSelected="1" workbookViewId="0">
      <selection activeCell="F19" sqref="F19"/>
    </sheetView>
  </sheetViews>
  <sheetFormatPr baseColWidth="10" defaultRowHeight="14.4" x14ac:dyDescent="0.3"/>
  <cols>
    <col min="2" max="2" width="12.88671875" bestFit="1" customWidth="1"/>
    <col min="3" max="3" width="13.33203125" bestFit="1" customWidth="1"/>
  </cols>
  <sheetData>
    <row r="1" spans="1:5" x14ac:dyDescent="0.3">
      <c r="A1" s="2" t="s">
        <v>17</v>
      </c>
      <c r="B1" t="s">
        <v>18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</row>
    <row r="3" spans="1:5" x14ac:dyDescent="0.3">
      <c r="A3">
        <v>15.4</v>
      </c>
      <c r="B3">
        <v>20.96</v>
      </c>
      <c r="C3">
        <v>5.56</v>
      </c>
      <c r="D3">
        <v>60.02</v>
      </c>
    </row>
    <row r="6" spans="1:5" x14ac:dyDescent="0.3">
      <c r="A6" s="2" t="s">
        <v>9</v>
      </c>
      <c r="B6" s="2" t="s">
        <v>10</v>
      </c>
      <c r="C6" s="2" t="s">
        <v>11</v>
      </c>
      <c r="D6" s="2" t="s">
        <v>12</v>
      </c>
      <c r="E6" s="2" t="s">
        <v>19</v>
      </c>
    </row>
    <row r="7" spans="1:5" x14ac:dyDescent="0.3">
      <c r="B7">
        <v>0.47399999999999998</v>
      </c>
      <c r="C7" s="2">
        <f>2*PI()*60*20.96*10^-3/15.4</f>
        <v>0.51309960014993816</v>
      </c>
      <c r="E7">
        <f>16.667/2+1.28</f>
        <v>9.6135000000000002</v>
      </c>
    </row>
    <row r="10" spans="1:5" x14ac:dyDescent="0.3">
      <c r="B10">
        <f>B7*16.6*10^-3/(2*PI())</f>
        <v>1.2522947542242696E-3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1er circuito</vt:lpstr>
      <vt:lpstr>2do circuito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2026-02-03T23:46:17Z</dcterms:created>
  <dcterms:modified xsi:type="dcterms:W3CDTF">2026-02-04T03:51:58Z</dcterms:modified>
</cp:coreProperties>
</file>