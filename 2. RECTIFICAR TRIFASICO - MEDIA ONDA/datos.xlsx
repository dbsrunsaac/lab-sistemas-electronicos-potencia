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SISTEMAS ELECTRONICOS DE POTENCIA\lab-sistemas-electronicos-potencia\2. RECTIFICAR TRIFASICO - MEDIA ONDA\"/>
    </mc:Choice>
  </mc:AlternateContent>
  <xr:revisionPtr revIDLastSave="0" documentId="8_{18FC702C-E67E-4DC6-B00E-2CED3B570DAE}" xr6:coauthVersionLast="47" xr6:coauthVersionMax="47" xr10:uidLastSave="{00000000-0000-0000-0000-000000000000}"/>
  <bookViews>
    <workbookView xWindow="11520" yWindow="456" windowWidth="11520" windowHeight="12504" xr2:uid="{97B723EC-598A-465F-8F2E-C8FE302ECCE1}"/>
  </bookViews>
  <sheets>
    <sheet name="R" sheetId="1" r:id="rId1"/>
    <sheet name="RC - 47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3" i="2"/>
  <c r="C9" i="1"/>
  <c r="F7" i="1"/>
  <c r="F6" i="1"/>
  <c r="F3" i="1"/>
  <c r="C3" i="1"/>
  <c r="C8" i="1"/>
  <c r="C7" i="1"/>
  <c r="C6" i="1"/>
  <c r="F4" i="1" s="1"/>
  <c r="F8" i="1" l="1"/>
  <c r="F9" i="1"/>
</calcChain>
</file>

<file path=xl/sharedStrings.xml><?xml version="1.0" encoding="utf-8"?>
<sst xmlns="http://schemas.openxmlformats.org/spreadsheetml/2006/main" count="28" uniqueCount="18">
  <si>
    <t>Vm</t>
  </si>
  <si>
    <t>Vmedio</t>
  </si>
  <si>
    <t>Vrms</t>
  </si>
  <si>
    <t>Carga R</t>
  </si>
  <si>
    <t>Imedia</t>
  </si>
  <si>
    <t>Irms</t>
  </si>
  <si>
    <t>r (rizado)</t>
  </si>
  <si>
    <t>Practico</t>
  </si>
  <si>
    <t>Teorico</t>
  </si>
  <si>
    <t xml:space="preserve">Pac </t>
  </si>
  <si>
    <t>Pdc</t>
  </si>
  <si>
    <t>n</t>
  </si>
  <si>
    <t>FF</t>
  </si>
  <si>
    <t>RF</t>
  </si>
  <si>
    <t>TUF</t>
  </si>
  <si>
    <t>Is</t>
  </si>
  <si>
    <t>FP</t>
  </si>
  <si>
    <t>PIV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</si>
</sst>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0315-CC81-488E-8851-47B5CFBF7175}">
  <dimension ref="A1:F10"/>
  <sheetViews>
    <sheetView tabSelected="1" workbookViewId="0">
      <selection activeCell="F24" sqref="F24"/>
    </sheetView>
  </sheetViews>
  <sheetFormatPr baseColWidth="10" defaultRowHeight="14.4" x14ac:dyDescent="0.3"/>
  <sheetData>
    <row r="1" spans="1:6" x14ac:dyDescent="0.3">
      <c r="A1" t="s">
        <v>3</v>
      </c>
      <c r="B1">
        <v>989</v>
      </c>
    </row>
    <row r="2" spans="1:6" x14ac:dyDescent="0.3">
      <c r="B2" t="s">
        <v>8</v>
      </c>
      <c r="C2" t="s">
        <v>7</v>
      </c>
    </row>
    <row r="3" spans="1:6" x14ac:dyDescent="0.3">
      <c r="A3" t="s">
        <v>0</v>
      </c>
      <c r="C3">
        <f>48*SQRT(2)</f>
        <v>67.882250993908571</v>
      </c>
      <c r="E3" t="s">
        <v>9</v>
      </c>
      <c r="F3">
        <f>C5*C7</f>
        <v>3.6037310414560162</v>
      </c>
    </row>
    <row r="4" spans="1:6" x14ac:dyDescent="0.3">
      <c r="A4" t="s">
        <v>1</v>
      </c>
      <c r="C4">
        <v>58.8</v>
      </c>
      <c r="E4" t="s">
        <v>10</v>
      </c>
      <c r="F4">
        <f>C4*C6</f>
        <v>3.4958948432760359</v>
      </c>
    </row>
    <row r="5" spans="1:6" x14ac:dyDescent="0.3">
      <c r="A5" t="s">
        <v>2</v>
      </c>
      <c r="C5">
        <v>59.7</v>
      </c>
      <c r="E5" t="s">
        <v>11</v>
      </c>
      <c r="F5">
        <v>3</v>
      </c>
    </row>
    <row r="6" spans="1:6" x14ac:dyDescent="0.3">
      <c r="A6" t="s">
        <v>4</v>
      </c>
      <c r="C6">
        <f>C4/B1</f>
        <v>5.945399393326592E-2</v>
      </c>
      <c r="E6" t="s">
        <v>12</v>
      </c>
      <c r="F6">
        <f>C5/C4</f>
        <v>1.0153061224489797</v>
      </c>
    </row>
    <row r="7" spans="1:6" x14ac:dyDescent="0.3">
      <c r="A7" t="s">
        <v>5</v>
      </c>
      <c r="C7">
        <f>C5/B1</f>
        <v>6.0364004044489383E-2</v>
      </c>
      <c r="E7" t="s">
        <v>13</v>
      </c>
      <c r="F7">
        <f>SQRT((C5/C4)^2-1)</f>
        <v>0.17563178038835223</v>
      </c>
    </row>
    <row r="8" spans="1:6" x14ac:dyDescent="0.3">
      <c r="A8" t="s">
        <v>6</v>
      </c>
      <c r="C8">
        <f>SQRT((C5/C4)^2-1)</f>
        <v>0.17563178038835223</v>
      </c>
      <c r="E8" t="s">
        <v>14</v>
      </c>
      <c r="F8">
        <f>F4/(3*47*C9)</f>
        <v>21.373776248936387</v>
      </c>
    </row>
    <row r="9" spans="1:6" x14ac:dyDescent="0.3">
      <c r="A9" t="s">
        <v>15</v>
      </c>
      <c r="C9">
        <f>1.16/1000</f>
        <v>1.16E-3</v>
      </c>
      <c r="E9" t="s">
        <v>16</v>
      </c>
      <c r="F9">
        <f>F3/F4</f>
        <v>1.0308465222823824</v>
      </c>
    </row>
    <row r="10" spans="1:6" x14ac:dyDescent="0.3">
      <c r="E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B80A-67C7-4781-BCC4-3324F0A7B1E2}">
  <dimension ref="A1:C9"/>
  <sheetViews>
    <sheetView workbookViewId="0">
      <selection activeCell="C5" sqref="C5"/>
    </sheetView>
  </sheetViews>
  <sheetFormatPr baseColWidth="10" defaultRowHeight="14.4" x14ac:dyDescent="0.3"/>
  <sheetData>
    <row r="1" spans="1:3" x14ac:dyDescent="0.3">
      <c r="A1" t="s">
        <v>3</v>
      </c>
      <c r="B1">
        <v>989</v>
      </c>
    </row>
    <row r="2" spans="1:3" x14ac:dyDescent="0.3">
      <c r="B2" t="s">
        <v>8</v>
      </c>
      <c r="C2" t="s">
        <v>7</v>
      </c>
    </row>
    <row r="3" spans="1:3" x14ac:dyDescent="0.3">
      <c r="A3" t="s">
        <v>0</v>
      </c>
      <c r="C3">
        <f>48*SQRT(2)</f>
        <v>67.882250993908571</v>
      </c>
    </row>
    <row r="4" spans="1:3" x14ac:dyDescent="0.3">
      <c r="A4" t="s">
        <v>1</v>
      </c>
      <c r="C4">
        <v>66.7</v>
      </c>
    </row>
    <row r="5" spans="1:3" x14ac:dyDescent="0.3">
      <c r="A5" t="s">
        <v>2</v>
      </c>
      <c r="C5">
        <v>67.599999999999994</v>
      </c>
    </row>
    <row r="6" spans="1:3" x14ac:dyDescent="0.3">
      <c r="A6" t="s">
        <v>4</v>
      </c>
      <c r="C6">
        <f>C4/B1</f>
        <v>6.7441860465116285E-2</v>
      </c>
    </row>
    <row r="7" spans="1:3" x14ac:dyDescent="0.3">
      <c r="A7" t="s">
        <v>5</v>
      </c>
      <c r="C7">
        <f>C5/B1</f>
        <v>6.8351870576339735E-2</v>
      </c>
    </row>
    <row r="8" spans="1:3" x14ac:dyDescent="0.3">
      <c r="A8" t="s">
        <v>6</v>
      </c>
      <c r="C8">
        <f>SQRT((C5/C4)^2-1)</f>
        <v>0.16482892535360066</v>
      </c>
    </row>
    <row r="9" spans="1:3" x14ac:dyDescent="0.3">
      <c r="A9" t="s">
        <v>15</v>
      </c>
      <c r="C9">
        <f>1.16/1000</f>
        <v>1.16E-3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</vt:lpstr>
      <vt:lpstr>RC - 47u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2026-02-06T00:57:59Z</dcterms:created>
  <dcterms:modified xsi:type="dcterms:W3CDTF">2026-02-06T19:29:02Z</dcterms:modified>
</cp:coreProperties>
</file>