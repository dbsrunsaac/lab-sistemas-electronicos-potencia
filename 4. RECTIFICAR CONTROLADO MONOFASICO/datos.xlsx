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SISTEMAS ELECTRONICOS DE POTENCIA\lab-sistemas-electronicos-potencia\4. RECTIFICAR CONTROLADO MONOFASICO\"/>
    </mc:Choice>
  </mc:AlternateContent>
  <xr:revisionPtr revIDLastSave="0" documentId="13_ncr:1_{7CECE063-F08C-444F-A71D-1E57E38FB300}" xr6:coauthVersionLast="47" xr6:coauthVersionMax="47" xr10:uidLastSave="{00000000-0000-0000-0000-000000000000}"/>
  <bookViews>
    <workbookView xWindow="-108" yWindow="348" windowWidth="23256" windowHeight="12720" xr2:uid="{0407C45E-CEAA-4692-8DAD-D3126E2BDA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J4" i="1"/>
  <c r="H3" i="1"/>
  <c r="I3" i="1" s="1"/>
  <c r="H4" i="1"/>
  <c r="H5" i="1"/>
  <c r="I5" i="1" s="1"/>
  <c r="H6" i="1"/>
  <c r="I6" i="1" s="1"/>
  <c r="H7" i="1"/>
  <c r="I7" i="1" s="1"/>
  <c r="H2" i="1"/>
  <c r="H8" i="1"/>
  <c r="I8" i="1"/>
  <c r="H9" i="1"/>
  <c r="I9" i="1"/>
  <c r="H10" i="1"/>
  <c r="I10" i="1"/>
  <c r="I2" i="1"/>
</calcChain>
</file>

<file path=xl/sharedStrings.xml><?xml version="1.0" encoding="utf-8"?>
<sst xmlns="http://schemas.openxmlformats.org/spreadsheetml/2006/main" count="7" uniqueCount="7">
  <si>
    <t>If [mA]</t>
  </si>
  <si>
    <t>Vf [v]</t>
  </si>
  <si>
    <t>Req</t>
  </si>
  <si>
    <t>R2</t>
  </si>
  <si>
    <t>R3</t>
  </si>
  <si>
    <t>Vmedio</t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</si>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</sst>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B486-A0C8-4C34-95E1-1813CED098B0}">
  <dimension ref="B1:K10"/>
  <sheetViews>
    <sheetView tabSelected="1" workbookViewId="0">
      <selection activeCell="H7" sqref="H7"/>
    </sheetView>
  </sheetViews>
  <sheetFormatPr baseColWidth="10" defaultRowHeight="14.4" x14ac:dyDescent="0.3"/>
  <cols>
    <col min="8" max="8" width="26.77734375" customWidth="1"/>
  </cols>
  <sheetData>
    <row r="1" spans="2:11" x14ac:dyDescent="0.3">
      <c r="B1" t="s">
        <v>0</v>
      </c>
      <c r="C1" t="s">
        <v>1</v>
      </c>
      <c r="F1" t="s">
        <v>3</v>
      </c>
      <c r="G1" t="s">
        <v>4</v>
      </c>
      <c r="H1" t="s">
        <v>6</v>
      </c>
    </row>
    <row r="2" spans="2:11" x14ac:dyDescent="0.3">
      <c r="B2">
        <v>4.2350000000000003</v>
      </c>
      <c r="C2">
        <v>0.67</v>
      </c>
      <c r="E2" t="s">
        <v>2</v>
      </c>
      <c r="F2">
        <v>220</v>
      </c>
      <c r="G2">
        <v>1</v>
      </c>
      <c r="H2">
        <f>ASIN((F2+G2)*$B$2/(1000*13.5*SQRT(2)))</f>
        <v>4.9042322228451424E-2</v>
      </c>
      <c r="I2">
        <f>H2*180/PI()</f>
        <v>2.8099180812108893</v>
      </c>
    </row>
    <row r="3" spans="2:11" x14ac:dyDescent="0.3">
      <c r="B3" t="s">
        <v>5</v>
      </c>
      <c r="F3">
        <v>4500</v>
      </c>
      <c r="G3">
        <v>1</v>
      </c>
      <c r="H3">
        <f t="shared" ref="H3:H7" si="0">ASIN((F3+G3)*$B$2/(1000*13.5*SQRT(2)))</f>
        <v>1.514590971543718</v>
      </c>
      <c r="I3">
        <f t="shared" ref="I3:I10" si="1">H3*180/PI()</f>
        <v>86.779670358074014</v>
      </c>
    </row>
    <row r="4" spans="2:11" x14ac:dyDescent="0.3">
      <c r="H4">
        <f t="shared" si="0"/>
        <v>0</v>
      </c>
      <c r="I4">
        <v>60</v>
      </c>
      <c r="J4">
        <f>13.5*SQRT(2)*SIN(I4*PI()/180)/(B2*10^-3)</f>
        <v>3904.1453987689379</v>
      </c>
      <c r="K4">
        <f>1.6*360/16.6</f>
        <v>34.69879518072289</v>
      </c>
    </row>
    <row r="5" spans="2:11" x14ac:dyDescent="0.3">
      <c r="H5">
        <f t="shared" si="0"/>
        <v>0</v>
      </c>
      <c r="I5">
        <f t="shared" si="1"/>
        <v>0</v>
      </c>
      <c r="K5">
        <f>60*16.6/360</f>
        <v>2.7666666666666671</v>
      </c>
    </row>
    <row r="6" spans="2:11" x14ac:dyDescent="0.3">
      <c r="H6">
        <f t="shared" si="0"/>
        <v>0</v>
      </c>
      <c r="I6">
        <f t="shared" si="1"/>
        <v>0</v>
      </c>
      <c r="K6">
        <f>2.6*360/16.6</f>
        <v>56.385542168674696</v>
      </c>
    </row>
    <row r="7" spans="2:11" x14ac:dyDescent="0.3">
      <c r="H7">
        <f t="shared" si="0"/>
        <v>0</v>
      </c>
      <c r="I7">
        <f t="shared" si="1"/>
        <v>0</v>
      </c>
    </row>
    <row r="8" spans="2:11" x14ac:dyDescent="0.3">
      <c r="H8">
        <f t="shared" ref="H3:H10" si="2">ASIN((F8+G8)*B8/(1000*13.5*SQRT(2)))</f>
        <v>0</v>
      </c>
      <c r="I8">
        <f t="shared" si="1"/>
        <v>0</v>
      </c>
    </row>
    <row r="9" spans="2:11" x14ac:dyDescent="0.3">
      <c r="H9">
        <f t="shared" si="2"/>
        <v>0</v>
      </c>
      <c r="I9">
        <f t="shared" si="1"/>
        <v>0</v>
      </c>
    </row>
    <row r="10" spans="2:11" x14ac:dyDescent="0.3">
      <c r="H10">
        <f t="shared" si="2"/>
        <v>0</v>
      </c>
      <c r="I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2026-03-04T01:20:31Z</dcterms:created>
  <dcterms:modified xsi:type="dcterms:W3CDTF">2026-03-04T14:42:38Z</dcterms:modified>
</cp:coreProperties>
</file>