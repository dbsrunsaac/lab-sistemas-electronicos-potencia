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<sst xmlns="http://schemas.openxmlformats.org/spreadsheetml/2006/main" count="16" uniqueCount="16">
  <si>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If [mA]</t>
  </si>
  <si>
    <t xml:space="preserve">Vf [v]</t>
  </si>
  <si>
    <t xml:space="preserve">R2</t>
  </si>
  <si>
    <t xml:space="preserve">R3</t>
  </si>
  <si>
    <t xml:space="preserve">Alfa</t>
  </si>
  <si>
    <t xml:space="preserve">Req</t>
  </si>
  <si>
    <t xml:space="preserve">Tiempo</t>
  </si>
  <si>
    <t xml:space="preserve">señal</t>
  </si>
  <si>
    <t xml:space="preserve">Angulo disp</t>
  </si>
  <si>
    <t xml:space="preserve">ang sexagesimal</t>
  </si>
  <si>
    <t xml:space="preserve">ang rad</t>
  </si>
  <si>
    <t xml:space="preserve">Vmedio</t>
  </si>
  <si>
    <t xml:space="preserve">alfa</t>
  </si>
  <si>
    <t xml:space="preserve">alfa obt</t>
  </si>
  <si>
    <t xml:space="preserve">error</t>
  </si>
  <si>
    <t xml:space="preserve">Potencia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</si>
</sst>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3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Q8" activeCellId="0" sqref="Q8"/>
    </sheetView>
  </sheetViews>
  <sheetFormatPr defaultColWidth="10.6796875" defaultRowHeight="14.25" customHeight="false" zeroHeight="false" outlineLevelRow="0" outlineLevelCol="0"/>
  <cols>
    <col collapsed="false" customWidth="true" hidden="false" outlineLevel="0" max="8" min="8" style="0" width="26.77"/>
    <col collapsed="false" customWidth="true" hidden="false" outlineLevel="0" max="13" min="13" style="0" width="12.79"/>
    <col collapsed="false" customWidth="true" hidden="false" outlineLevel="0" max="16" min="16" style="0" width="14.93"/>
  </cols>
  <sheetData>
    <row r="1" customFormat="false" ht="14.25" hidden="false" customHeight="false" outlineLevel="0" collapsed="false">
      <c r="B1" s="0" t="s">
        <v>0</v>
      </c>
      <c r="C1" s="0" t="s">
        <v>1</v>
      </c>
      <c r="F1" s="0" t="s">
        <v>2</v>
      </c>
      <c r="G1" s="0" t="s">
        <v>3</v>
      </c>
      <c r="H1" s="0" t="s">
        <v>4</v>
      </c>
    </row>
    <row r="2" customFormat="false" ht="14.25" hidden="false" customHeight="false" outlineLevel="0" collapsed="false">
      <c r="B2" s="0" t="n">
        <v>4.235</v>
      </c>
      <c r="C2" s="0" t="n">
        <v>0.67</v>
      </c>
      <c r="E2" s="0" t="s">
        <v>5</v>
      </c>
      <c r="F2" s="0" t="n">
        <v>220</v>
      </c>
      <c r="G2" s="0" t="n">
        <v>1</v>
      </c>
      <c r="H2" s="0" t="n">
        <f aca="false">ASIN((F2+G2)*$B$2/(1000*13.5*SQRT(2)))</f>
        <v>0.0490423222284514</v>
      </c>
      <c r="I2" s="0" t="n">
        <f aca="false">H2*180/PI()</f>
        <v>2.80991808121089</v>
      </c>
      <c r="L2" s="0" t="s">
        <v>6</v>
      </c>
      <c r="M2" s="0" t="s">
        <v>7</v>
      </c>
      <c r="N2" s="0" t="s">
        <v>8</v>
      </c>
      <c r="P2" s="0" t="s">
        <v>9</v>
      </c>
      <c r="Q2" s="0" t="s">
        <v>10</v>
      </c>
    </row>
    <row r="3" customFormat="false" ht="14.25" hidden="false" customHeight="false" outlineLevel="0" collapsed="false">
      <c r="B3" s="0" t="s">
        <v>11</v>
      </c>
      <c r="F3" s="0" t="n">
        <v>4500</v>
      </c>
      <c r="G3" s="0" t="n">
        <v>1</v>
      </c>
      <c r="H3" s="0" t="n">
        <f aca="false">ASIN((F3+G3)*$B$2/(1000*13.5*SQRT(2)))</f>
        <v>1.51459097154372</v>
      </c>
      <c r="I3" s="0" t="n">
        <f aca="false">H3*180/PI()</f>
        <v>86.779670358074</v>
      </c>
      <c r="L3" s="0" t="n">
        <v>2.7</v>
      </c>
      <c r="M3" s="0" t="n">
        <f aca="false">L3*360/16.6</f>
        <v>58.5542168674699</v>
      </c>
      <c r="N3" s="0" t="n">
        <f aca="false">180-M3</f>
        <v>121.44578313253</v>
      </c>
      <c r="P3" s="0" t="n">
        <v>80.4</v>
      </c>
      <c r="Q3" s="0" t="n">
        <f aca="false">P3*PI()/180</f>
        <v>1.40324471860344</v>
      </c>
    </row>
    <row r="4" customFormat="false" ht="14.25" hidden="false" customHeight="false" outlineLevel="0" collapsed="false">
      <c r="H4" s="0" t="n">
        <f aca="false">ASIN((F4+G4)*$B$2/(1000*13.5*SQRT(2)))</f>
        <v>0</v>
      </c>
      <c r="I4" s="0" t="n">
        <v>60</v>
      </c>
      <c r="J4" s="0" t="n">
        <f aca="false">13.5*SQRT(2)*SIN(I4*PI()/180)/(B2*10^-3)</f>
        <v>3904.14539876894</v>
      </c>
      <c r="K4" s="0" t="n">
        <f aca="false">1.6*360/16.6</f>
        <v>34.6987951807229</v>
      </c>
    </row>
    <row r="5" customFormat="false" ht="14.25" hidden="false" customHeight="false" outlineLevel="0" collapsed="false">
      <c r="H5" s="0" t="n">
        <f aca="false">ASIN((F5+G5)*$B$2/(1000*13.5*SQRT(2)))</f>
        <v>0</v>
      </c>
      <c r="I5" s="0" t="n">
        <f aca="false">H5*180/PI()</f>
        <v>0</v>
      </c>
      <c r="K5" s="0" t="n">
        <f aca="false">60*16.6/360</f>
        <v>2.76666666666667</v>
      </c>
    </row>
    <row r="6" customFormat="false" ht="14.25" hidden="false" customHeight="false" outlineLevel="0" collapsed="false">
      <c r="H6" s="0" t="n">
        <f aca="false">ASIN((F6+G6)*$B$2/(1000*13.5*SQRT(2)))</f>
        <v>0</v>
      </c>
      <c r="I6" s="0" t="n">
        <f aca="false">H6*180/PI()</f>
        <v>0</v>
      </c>
      <c r="K6" s="0" t="n">
        <f aca="false">2.6*360/16.6</f>
        <v>56.3855421686747</v>
      </c>
    </row>
    <row r="7" customFormat="false" ht="14.25" hidden="false" customHeight="false" outlineLevel="0" collapsed="false">
      <c r="H7" s="0" t="n">
        <f aca="false">ASIN((F7+G7)*$B$2/(1000*13.5*SQRT(2)))</f>
        <v>0</v>
      </c>
      <c r="I7" s="0" t="n">
        <f aca="false">H7*180/PI()</f>
        <v>0</v>
      </c>
    </row>
    <row r="8" customFormat="false" ht="14.25" hidden="false" customHeight="false" outlineLevel="0" collapsed="false">
      <c r="H8" s="0" t="n">
        <f aca="false">ASIN((F8+G8)*B8/(1000*13.5*SQRT(2)))</f>
        <v>0</v>
      </c>
      <c r="I8" s="0" t="n">
        <f aca="false">H8*180/PI()</f>
        <v>0</v>
      </c>
    </row>
    <row r="9" customFormat="false" ht="14.25" hidden="false" customHeight="false" outlineLevel="0" collapsed="false">
      <c r="H9" s="0" t="n">
        <f aca="false">ASIN((F9+G9)*B9/(1000*13.5*SQRT(2)))</f>
        <v>0</v>
      </c>
      <c r="I9" s="0" t="n">
        <f aca="false">H9*180/PI()</f>
        <v>0</v>
      </c>
    </row>
    <row r="10" customFormat="false" ht="14.25" hidden="false" customHeight="false" outlineLevel="0" collapsed="false">
      <c r="H10" s="0" t="n">
        <f aca="false">ASIN((F10+G10)*B10/(1000*13.5*SQRT(2)))</f>
        <v>0</v>
      </c>
      <c r="I10" s="0" t="n">
        <f aca="false">H10*180/PI()</f>
        <v>0</v>
      </c>
    </row>
    <row r="12" customFormat="false" ht="14.25" hidden="false" customHeight="false" outlineLevel="0" collapsed="false">
      <c r="B12" s="0" t="s">
        <v>12</v>
      </c>
      <c r="C12" s="0" t="s">
        <v>13</v>
      </c>
      <c r="D12" s="0" t="s">
        <v>14</v>
      </c>
      <c r="F12" s="0" t="s">
        <v>15</v>
      </c>
    </row>
    <row r="13" customFormat="false" ht="14.25" hidden="false" customHeight="false" outlineLevel="0" collapsed="false">
      <c r="B13" s="0" t="n">
        <v>60</v>
      </c>
      <c r="C13" s="0" t="n">
        <v>80.4</v>
      </c>
      <c r="D13" s="0" t="n">
        <f aca="false">ABS(B13-C13)*100/B13</f>
        <v>34</v>
      </c>
      <c r="F13" s="0" t="n">
        <f aca="false">6.59^2/15</f>
        <v>2.89520666666667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2026-03-04T01:20:31Z</dcterms:created>
  <dc:creator>Bremdows</dc:creator>
  <dc:description/>
  <dc:language>es-ES</dc:language>
  <cp:lastModifiedBy/>
  <dcterms:modified xsi:type="dcterms:W3CDTF">2026-03-13T21:16:00Z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